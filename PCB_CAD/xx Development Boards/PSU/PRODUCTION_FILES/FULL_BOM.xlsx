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PSU/PRODUCTION_FILES/PCB/"/>
    </mc:Choice>
  </mc:AlternateContent>
  <xr:revisionPtr revIDLastSave="0" documentId="13_ncr:9_{ECE13431-3594-8942-9D26-307959748D0C}" xr6:coauthVersionLast="47" xr6:coauthVersionMax="47" xr10:uidLastSave="{00000000-0000-0000-0000-000000000000}"/>
  <bookViews>
    <workbookView xWindow="0" yWindow="660" windowWidth="30240" windowHeight="17700" xr2:uid="{9737004F-F947-534C-8599-3E29E7304406}"/>
  </bookViews>
  <sheets>
    <sheet name="JLCbom copy" sheetId="1" r:id="rId1"/>
  </sheets>
  <calcPr calcId="0"/>
</workbook>
</file>

<file path=xl/calcChain.xml><?xml version="1.0" encoding="utf-8"?>
<calcChain xmlns="http://schemas.openxmlformats.org/spreadsheetml/2006/main">
  <c r="I58" i="1" l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53" i="1"/>
  <c r="I51" i="1"/>
  <c r="I40" i="1"/>
  <c r="I41" i="1"/>
  <c r="I42" i="1"/>
  <c r="I43" i="1"/>
  <c r="I44" i="1"/>
  <c r="I45" i="1"/>
  <c r="I46" i="1"/>
  <c r="I47" i="1"/>
  <c r="I48" i="1"/>
  <c r="I49" i="1"/>
  <c r="I50" i="1"/>
  <c r="I52" i="1"/>
  <c r="I39" i="1"/>
</calcChain>
</file>

<file path=xl/sharedStrings.xml><?xml version="1.0" encoding="utf-8"?>
<sst xmlns="http://schemas.openxmlformats.org/spreadsheetml/2006/main" count="222" uniqueCount="177">
  <si>
    <t>Footprint</t>
  </si>
  <si>
    <t>Quantity</t>
  </si>
  <si>
    <t>Value</t>
  </si>
  <si>
    <t>PART</t>
  </si>
  <si>
    <t>C1, C11, C12, C2, C3, C4</t>
  </si>
  <si>
    <t>CP_Radial_D18.0mm_P7.50mm</t>
  </si>
  <si>
    <t>4700u</t>
  </si>
  <si>
    <t>C10, C14, C9</t>
  </si>
  <si>
    <t>100n</t>
  </si>
  <si>
    <t>C13, C7, C8</t>
  </si>
  <si>
    <t>C_Rect_L24.0mm_W12.6mm_P22.50mm_MKT</t>
  </si>
  <si>
    <t>10u</t>
  </si>
  <si>
    <t>C15</t>
  </si>
  <si>
    <t>10n</t>
  </si>
  <si>
    <t>C16, C18, C20, C22</t>
  </si>
  <si>
    <t>CP_Radial_D12.5mm_P5.00mm</t>
  </si>
  <si>
    <t>1000u</t>
  </si>
  <si>
    <t>C17, C19, C21, C23</t>
  </si>
  <si>
    <t>CP_Radial_D10.0mm_P5.00mm</t>
  </si>
  <si>
    <t>470u</t>
  </si>
  <si>
    <t>C5, C6</t>
  </si>
  <si>
    <t>CP_Elec_6.3x5.4</t>
  </si>
  <si>
    <t>D1, D2, D3, D4</t>
  </si>
  <si>
    <t>D_DO-201AD_P15.24mm_Horizontal</t>
  </si>
  <si>
    <t>1N5404</t>
  </si>
  <si>
    <t>D5, D6</t>
  </si>
  <si>
    <t>Diode_Bridge_32.0x5.6x17.0mm_P10.0mm_P7.5mm</t>
  </si>
  <si>
    <t>GBJ2510</t>
  </si>
  <si>
    <t>D7, D8, D9</t>
  </si>
  <si>
    <t>D_SOD-123</t>
  </si>
  <si>
    <t>1N4148</t>
  </si>
  <si>
    <t>J10</t>
  </si>
  <si>
    <t>TerminalBlock_Phoenix_MKDS-1,5-2-5.08_1x02_P5.08mm_Horizontal</t>
  </si>
  <si>
    <t>SMPS_IN</t>
  </si>
  <si>
    <t>J11</t>
  </si>
  <si>
    <t>PinHeader_1x02_P2.54mm_Vertical</t>
  </si>
  <si>
    <t>D/C_CAP3</t>
  </si>
  <si>
    <t>J12</t>
  </si>
  <si>
    <t>D/C_CAP2</t>
  </si>
  <si>
    <t>J13</t>
  </si>
  <si>
    <t>D/C_CAP1</t>
  </si>
  <si>
    <t>J2</t>
  </si>
  <si>
    <t>TerminalBlock_Phoenix_MKDS-1,5-4-5.08_1x04_P5.08mm_Horizontal</t>
  </si>
  <si>
    <t>OUT_ANLG</t>
  </si>
  <si>
    <t>J3</t>
  </si>
  <si>
    <t>MAINS_IN</t>
  </si>
  <si>
    <t>J4</t>
  </si>
  <si>
    <t>T1_PRI</t>
  </si>
  <si>
    <t>J5</t>
  </si>
  <si>
    <t>T1_SEC</t>
  </si>
  <si>
    <t>J6</t>
  </si>
  <si>
    <t>PinHeader_1x03_P2.54mm_Vertical</t>
  </si>
  <si>
    <t>GND_LIFT</t>
  </si>
  <si>
    <t>J7</t>
  </si>
  <si>
    <t>FAN1_12V</t>
  </si>
  <si>
    <t>J8</t>
  </si>
  <si>
    <t>FAN2_12V</t>
  </si>
  <si>
    <t>J9</t>
  </si>
  <si>
    <t>OUT_DIGI</t>
  </si>
  <si>
    <t>L1, L2, L3, L4</t>
  </si>
  <si>
    <t>L_Vishay_IHLP-5050</t>
  </si>
  <si>
    <t>4.7u</t>
  </si>
  <si>
    <t>R1, R2, R3</t>
  </si>
  <si>
    <t>R_Axial_DIN0414_L11.9mm_D4.5mm_P20.32mm_Horizontal</t>
  </si>
  <si>
    <t>R10, R9</t>
  </si>
  <si>
    <t>R11, R12</t>
  </si>
  <si>
    <t>R13</t>
  </si>
  <si>
    <t>R14</t>
  </si>
  <si>
    <t>R15</t>
  </si>
  <si>
    <t>56k</t>
  </si>
  <si>
    <t>R16, R17, R18, R19</t>
  </si>
  <si>
    <t>R_Axial_DIN0207_L6.3mm_D2.5mm_P10.16mm_Horizontal</t>
  </si>
  <si>
    <t>0.33R</t>
  </si>
  <si>
    <t>R4</t>
  </si>
  <si>
    <t>0805</t>
  </si>
  <si>
    <t>R5, R6</t>
  </si>
  <si>
    <t>4.7k</t>
  </si>
  <si>
    <t>R7, R8</t>
  </si>
  <si>
    <t>TR2</t>
  </si>
  <si>
    <t>229A10</t>
  </si>
  <si>
    <t>U1</t>
  </si>
  <si>
    <t>TO-220-3_Vertical</t>
  </si>
  <si>
    <t>LM317AT/NOPB</t>
  </si>
  <si>
    <t>U2</t>
  </si>
  <si>
    <t>LM337T/NOPB</t>
  </si>
  <si>
    <t>U3</t>
  </si>
  <si>
    <t>LD1117V33C</t>
  </si>
  <si>
    <t>MFG</t>
  </si>
  <si>
    <t>POPULATED AT FAB, SEE JLCbom.csv</t>
  </si>
  <si>
    <t>Hammond Mfg</t>
  </si>
  <si>
    <t>PRICE PER</t>
  </si>
  <si>
    <t>TOTAL</t>
  </si>
  <si>
    <t>filter</t>
  </si>
  <si>
    <t>TH1</t>
  </si>
  <si>
    <t>filter (hf bypass)</t>
  </si>
  <si>
    <t>ground lift</t>
  </si>
  <si>
    <t>pi filter</t>
  </si>
  <si>
    <t>hf bypass reg adj pin</t>
  </si>
  <si>
    <t>bridge rectifier</t>
  </si>
  <si>
    <t>terminal</t>
  </si>
  <si>
    <t xml:space="preserve">prevent post regulator caps from d/c thru it - power off </t>
  </si>
  <si>
    <t>to d/c big cap with screwdriver no sparky sparky</t>
  </si>
  <si>
    <t>use 2 pin shorting jumper to select gnd lift or no</t>
  </si>
  <si>
    <t>cooling fan</t>
  </si>
  <si>
    <t>to dampen pi filter resonance in case L ESR too low</t>
  </si>
  <si>
    <t>regulator voltage set</t>
  </si>
  <si>
    <t>pos rail regulator</t>
  </si>
  <si>
    <t>neg rail regulator</t>
  </si>
  <si>
    <t>low dropout regulator for 3v3 reference</t>
  </si>
  <si>
    <t>pcb toroidal mains transformer for 3v3 ref</t>
  </si>
  <si>
    <t>negative temp coeff. Thermistor (inrush current prot)</t>
  </si>
  <si>
    <t>12v buck module trim pin (calc from datasht)</t>
  </si>
  <si>
    <t>2W res discharge caps</t>
  </si>
  <si>
    <t>Reference</t>
  </si>
  <si>
    <t>MF72-010D9</t>
  </si>
  <si>
    <t>Cantherm</t>
  </si>
  <si>
    <t>7.5mm pitch</t>
  </si>
  <si>
    <t>U4</t>
  </si>
  <si>
    <t>U5</t>
  </si>
  <si>
    <t>U6</t>
  </si>
  <si>
    <t>U7</t>
  </si>
  <si>
    <t>smps AC to DC full noisy side supply input (105w 15v)</t>
  </si>
  <si>
    <t>NID-100-5</t>
  </si>
  <si>
    <t>dc-dc buck for 5v rail (100w short time 5V)</t>
  </si>
  <si>
    <t>dc-dc buck for 3v3 rail (20w cts)</t>
  </si>
  <si>
    <t>dc-dc buck for 10v rail (50w cts probably overkill)</t>
  </si>
  <si>
    <t>MeanWell</t>
  </si>
  <si>
    <t>Description</t>
  </si>
  <si>
    <t>URB2403LD-20WR3</t>
  </si>
  <si>
    <t>URB2412LD-50WR3</t>
  </si>
  <si>
    <t>RS-100-15</t>
  </si>
  <si>
    <t>Mornsun/generic</t>
  </si>
  <si>
    <t>in chassis</t>
  </si>
  <si>
    <t>see datasheet</t>
  </si>
  <si>
    <t>Chassis</t>
  </si>
  <si>
    <t>Redco Audio</t>
  </si>
  <si>
    <t>SendCutSend</t>
  </si>
  <si>
    <t>Panel Chassis custom CNC</t>
  </si>
  <si>
    <t>1mm 5052 aluminium</t>
  </si>
  <si>
    <t>CH1 Chassis</t>
  </si>
  <si>
    <t>1u rack mount chassis</t>
  </si>
  <si>
    <t>J1+SW1</t>
  </si>
  <si>
    <t>F1</t>
  </si>
  <si>
    <t>2A fast blow fuse 20mm x 5mm</t>
  </si>
  <si>
    <t>generic</t>
  </si>
  <si>
    <t xml:space="preserve">Output </t>
  </si>
  <si>
    <t>female XLR4 jack</t>
  </si>
  <si>
    <t>Neutrik</t>
  </si>
  <si>
    <t>NC4FD-L-1</t>
  </si>
  <si>
    <t>M1, M2</t>
  </si>
  <si>
    <t>40mm dia, 10mm 12v DC cooling fan brushless, 5k RPM</t>
  </si>
  <si>
    <t>IEC 320 C14 inlet with fuse holder and switch</t>
  </si>
  <si>
    <t>Antrader</t>
  </si>
  <si>
    <t>AC250V</t>
  </si>
  <si>
    <t>D10, D11, D12, D13, D14, D15</t>
  </si>
  <si>
    <t>LED_Rectangular_W3.9mm_H1.8mm</t>
  </si>
  <si>
    <t>Kingbright</t>
  </si>
  <si>
    <t>WP113GDT</t>
  </si>
  <si>
    <t>indicator LED for voltage present on each rail</t>
  </si>
  <si>
    <t>indicator led current limit 16v</t>
  </si>
  <si>
    <t>indicator led current limit 3v3</t>
  </si>
  <si>
    <t>1.2k</t>
  </si>
  <si>
    <t>indicator led current limit 5v</t>
  </si>
  <si>
    <t>indicator led current limit 10v</t>
  </si>
  <si>
    <t>HS1, HS2, HS3</t>
  </si>
  <si>
    <t>regulator heatsink for to220, solder, bolt on</t>
  </si>
  <si>
    <t>HSE-B20254-035H-01</t>
  </si>
  <si>
    <t>Same Sky Devices</t>
  </si>
  <si>
    <t>Transformer holder</t>
  </si>
  <si>
    <t>TR1</t>
  </si>
  <si>
    <t>VTX-146-050-218</t>
  </si>
  <si>
    <t>50va dual primary dual secondary 18v 18v toroidal</t>
  </si>
  <si>
    <t>Vigortronix</t>
  </si>
  <si>
    <t>holds tr1 is made of pcb</t>
  </si>
  <si>
    <t>from jlc</t>
  </si>
  <si>
    <t>$77.6 PER ASSEMBLY COUNTING PCB FAB AND TURNKEY ASSEMBLY + Shipping/customs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</si>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</sst>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8" fillId="0" borderId="0" xfId="0" applyFont="1" applyAlignment="1">
      <alignment horizontal="center" vertical="center" textRotation="90"/>
    </xf>
    <xf numFmtId="0" fontId="19" fillId="0" borderId="0" xfId="0" applyFont="1"/>
    <xf numFmtId="0" fontId="18" fillId="0" borderId="0" xfId="0" applyFont="1" applyAlignment="1">
      <alignment horizontal="center" vertical="center" textRotation="9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FB41-5AE8-2543-96CB-5C2A7B58BCB2}">
  <dimension ref="A1:I58"/>
  <sheetViews>
    <sheetView tabSelected="1" topLeftCell="A23" workbookViewId="0">
      <selection activeCell="J57" sqref="J57"/>
    </sheetView>
  </sheetViews>
  <sheetFormatPr baseColWidth="10" defaultRowHeight="16" x14ac:dyDescent="0.2"/>
  <cols>
    <col min="1" max="1" width="25.6640625" bestFit="1" customWidth="1"/>
    <col min="2" max="2" width="49" customWidth="1"/>
    <col min="3" max="3" width="8.1640625" bestFit="1" customWidth="1"/>
    <col min="4" max="4" width="13.83203125" bestFit="1" customWidth="1"/>
    <col min="5" max="5" width="45.1640625" bestFit="1" customWidth="1"/>
    <col min="6" max="6" width="15.5" bestFit="1" customWidth="1"/>
    <col min="7" max="7" width="19.1640625" bestFit="1" customWidth="1"/>
    <col min="9" max="9" width="14" bestFit="1" customWidth="1"/>
  </cols>
  <sheetData>
    <row r="1" spans="1:9" x14ac:dyDescent="0.2">
      <c r="A1" s="3" t="s">
        <v>113</v>
      </c>
      <c r="B1" s="3" t="s">
        <v>0</v>
      </c>
      <c r="C1" s="3" t="s">
        <v>1</v>
      </c>
      <c r="D1" s="3" t="s">
        <v>2</v>
      </c>
      <c r="E1" s="3" t="s">
        <v>127</v>
      </c>
      <c r="F1" s="3" t="s">
        <v>87</v>
      </c>
      <c r="G1" s="3" t="s">
        <v>3</v>
      </c>
      <c r="H1" s="3" t="s">
        <v>90</v>
      </c>
      <c r="I1" s="3" t="s">
        <v>91</v>
      </c>
    </row>
    <row r="2" spans="1:9" ht="16" customHeight="1" x14ac:dyDescent="0.2">
      <c r="A2" t="s">
        <v>4</v>
      </c>
      <c r="B2" t="s">
        <v>5</v>
      </c>
      <c r="C2">
        <v>6</v>
      </c>
      <c r="D2" t="s">
        <v>6</v>
      </c>
      <c r="E2" t="s">
        <v>92</v>
      </c>
      <c r="F2" s="2" t="s">
        <v>88</v>
      </c>
      <c r="G2" s="2"/>
      <c r="H2" s="4" t="s">
        <v>175</v>
      </c>
      <c r="I2" s="4"/>
    </row>
    <row r="3" spans="1:9" x14ac:dyDescent="0.2">
      <c r="A3" t="s">
        <v>7</v>
      </c>
      <c r="B3">
        <v>1206</v>
      </c>
      <c r="C3">
        <v>3</v>
      </c>
      <c r="D3" t="s">
        <v>8</v>
      </c>
      <c r="E3" t="s">
        <v>94</v>
      </c>
      <c r="F3" s="2"/>
      <c r="G3" s="2"/>
      <c r="H3" s="4"/>
      <c r="I3" s="4"/>
    </row>
    <row r="4" spans="1:9" x14ac:dyDescent="0.2">
      <c r="A4" t="s">
        <v>9</v>
      </c>
      <c r="B4" t="s">
        <v>10</v>
      </c>
      <c r="C4">
        <v>3</v>
      </c>
      <c r="D4" t="s">
        <v>11</v>
      </c>
      <c r="E4" t="s">
        <v>92</v>
      </c>
      <c r="F4" s="2"/>
      <c r="G4" s="2"/>
      <c r="H4" s="4"/>
      <c r="I4" s="4"/>
    </row>
    <row r="5" spans="1:9" x14ac:dyDescent="0.2">
      <c r="A5" t="s">
        <v>12</v>
      </c>
      <c r="B5">
        <v>1206</v>
      </c>
      <c r="C5">
        <v>1</v>
      </c>
      <c r="D5" t="s">
        <v>13</v>
      </c>
      <c r="E5" t="s">
        <v>95</v>
      </c>
      <c r="F5" s="2"/>
      <c r="G5" s="2"/>
      <c r="H5" s="4"/>
      <c r="I5" s="4"/>
    </row>
    <row r="6" spans="1:9" x14ac:dyDescent="0.2">
      <c r="A6" t="s">
        <v>14</v>
      </c>
      <c r="B6" t="s">
        <v>15</v>
      </c>
      <c r="C6">
        <v>4</v>
      </c>
      <c r="D6" t="s">
        <v>16</v>
      </c>
      <c r="E6" t="s">
        <v>96</v>
      </c>
      <c r="F6" s="2"/>
      <c r="G6" s="2"/>
      <c r="H6" s="4"/>
      <c r="I6" s="4"/>
    </row>
    <row r="7" spans="1:9" x14ac:dyDescent="0.2">
      <c r="A7" t="s">
        <v>17</v>
      </c>
      <c r="B7" t="s">
        <v>18</v>
      </c>
      <c r="C7">
        <v>4</v>
      </c>
      <c r="D7" t="s">
        <v>19</v>
      </c>
      <c r="E7" t="s">
        <v>96</v>
      </c>
      <c r="F7" s="2"/>
      <c r="G7" s="2"/>
      <c r="H7" s="4"/>
      <c r="I7" s="4"/>
    </row>
    <row r="8" spans="1:9" x14ac:dyDescent="0.2">
      <c r="A8" t="s">
        <v>20</v>
      </c>
      <c r="B8" t="s">
        <v>21</v>
      </c>
      <c r="C8">
        <v>2</v>
      </c>
      <c r="D8" t="s">
        <v>11</v>
      </c>
      <c r="E8" t="s">
        <v>97</v>
      </c>
      <c r="F8" s="2"/>
      <c r="G8" s="2"/>
      <c r="H8" s="4"/>
      <c r="I8" s="4"/>
    </row>
    <row r="9" spans="1:9" x14ac:dyDescent="0.2">
      <c r="A9" t="s">
        <v>22</v>
      </c>
      <c r="B9" t="s">
        <v>23</v>
      </c>
      <c r="C9">
        <v>4</v>
      </c>
      <c r="D9" t="s">
        <v>24</v>
      </c>
      <c r="E9" t="s">
        <v>98</v>
      </c>
      <c r="F9" s="2"/>
      <c r="G9" s="2"/>
      <c r="H9" s="4"/>
      <c r="I9" s="4"/>
    </row>
    <row r="10" spans="1:9" x14ac:dyDescent="0.2">
      <c r="A10" t="s">
        <v>25</v>
      </c>
      <c r="B10" t="s">
        <v>26</v>
      </c>
      <c r="C10">
        <v>2</v>
      </c>
      <c r="D10" t="s">
        <v>27</v>
      </c>
      <c r="E10" t="s">
        <v>98</v>
      </c>
      <c r="F10" s="2"/>
      <c r="G10" s="2"/>
      <c r="H10" s="4"/>
      <c r="I10" s="4"/>
    </row>
    <row r="11" spans="1:9" x14ac:dyDescent="0.2">
      <c r="A11" t="s">
        <v>28</v>
      </c>
      <c r="B11" t="s">
        <v>29</v>
      </c>
      <c r="C11">
        <v>3</v>
      </c>
      <c r="D11" t="s">
        <v>30</v>
      </c>
      <c r="E11" t="s">
        <v>100</v>
      </c>
      <c r="F11" s="2"/>
      <c r="G11" s="2"/>
      <c r="H11" s="4"/>
      <c r="I11" s="4"/>
    </row>
    <row r="12" spans="1:9" x14ac:dyDescent="0.2">
      <c r="A12" t="s">
        <v>59</v>
      </c>
      <c r="B12" t="s">
        <v>60</v>
      </c>
      <c r="C12">
        <v>4</v>
      </c>
      <c r="D12" t="s">
        <v>61</v>
      </c>
      <c r="E12" t="s">
        <v>96</v>
      </c>
      <c r="F12" s="2"/>
      <c r="G12" s="2"/>
      <c r="H12" s="4"/>
      <c r="I12" s="4"/>
    </row>
    <row r="13" spans="1:9" x14ac:dyDescent="0.2">
      <c r="A13" t="s">
        <v>62</v>
      </c>
      <c r="B13" t="s">
        <v>63</v>
      </c>
      <c r="C13">
        <v>3</v>
      </c>
      <c r="D13">
        <v>220</v>
      </c>
      <c r="E13" t="s">
        <v>112</v>
      </c>
      <c r="F13" s="2"/>
      <c r="G13" s="2"/>
      <c r="H13" s="4"/>
      <c r="I13" s="4"/>
    </row>
    <row r="14" spans="1:9" x14ac:dyDescent="0.2">
      <c r="A14" t="s">
        <v>64</v>
      </c>
      <c r="B14">
        <v>1206</v>
      </c>
      <c r="C14">
        <v>2</v>
      </c>
      <c r="D14" t="s">
        <v>161</v>
      </c>
      <c r="E14" t="s">
        <v>159</v>
      </c>
      <c r="F14" s="2"/>
      <c r="G14" s="2"/>
      <c r="H14" s="4"/>
      <c r="I14" s="4"/>
    </row>
    <row r="15" spans="1:9" x14ac:dyDescent="0.2">
      <c r="A15" t="s">
        <v>65</v>
      </c>
      <c r="B15">
        <v>1206</v>
      </c>
      <c r="C15">
        <v>2</v>
      </c>
      <c r="D15">
        <v>68</v>
      </c>
      <c r="E15" t="s">
        <v>160</v>
      </c>
      <c r="F15" s="2"/>
      <c r="G15" s="2"/>
      <c r="H15" s="4"/>
      <c r="I15" s="4"/>
    </row>
    <row r="16" spans="1:9" x14ac:dyDescent="0.2">
      <c r="A16" t="s">
        <v>66</v>
      </c>
      <c r="B16">
        <v>1206</v>
      </c>
      <c r="C16">
        <v>1</v>
      </c>
      <c r="D16">
        <v>220</v>
      </c>
      <c r="E16" t="s">
        <v>162</v>
      </c>
      <c r="F16" s="2"/>
      <c r="G16" s="2"/>
      <c r="H16" s="4"/>
      <c r="I16" s="4"/>
    </row>
    <row r="17" spans="1:9" x14ac:dyDescent="0.2">
      <c r="A17" t="s">
        <v>67</v>
      </c>
      <c r="B17">
        <v>1206</v>
      </c>
      <c r="C17">
        <v>1</v>
      </c>
      <c r="D17">
        <v>470</v>
      </c>
      <c r="E17" t="s">
        <v>163</v>
      </c>
      <c r="F17" s="2"/>
      <c r="G17" s="2"/>
      <c r="H17" s="4"/>
      <c r="I17" s="4"/>
    </row>
    <row r="18" spans="1:9" x14ac:dyDescent="0.2">
      <c r="A18" t="s">
        <v>68</v>
      </c>
      <c r="B18">
        <v>1206</v>
      </c>
      <c r="C18">
        <v>1</v>
      </c>
      <c r="D18" t="s">
        <v>69</v>
      </c>
      <c r="E18" t="s">
        <v>111</v>
      </c>
      <c r="F18" s="2"/>
      <c r="G18" s="2"/>
      <c r="H18" s="4"/>
      <c r="I18" s="4"/>
    </row>
    <row r="19" spans="1:9" x14ac:dyDescent="0.2">
      <c r="A19" t="s">
        <v>70</v>
      </c>
      <c r="B19" t="s">
        <v>71</v>
      </c>
      <c r="C19">
        <v>4</v>
      </c>
      <c r="D19" t="s">
        <v>72</v>
      </c>
      <c r="E19" t="s">
        <v>104</v>
      </c>
      <c r="F19" s="2"/>
      <c r="G19" s="2"/>
      <c r="H19" s="4"/>
      <c r="I19" s="4"/>
    </row>
    <row r="20" spans="1:9" x14ac:dyDescent="0.2">
      <c r="A20" t="s">
        <v>73</v>
      </c>
      <c r="B20" s="1" t="s">
        <v>74</v>
      </c>
      <c r="C20">
        <v>1</v>
      </c>
      <c r="D20">
        <v>10</v>
      </c>
      <c r="E20" t="s">
        <v>95</v>
      </c>
      <c r="F20" s="2"/>
      <c r="G20" s="2"/>
      <c r="H20" s="4"/>
      <c r="I20" s="4"/>
    </row>
    <row r="21" spans="1:9" x14ac:dyDescent="0.2">
      <c r="A21" t="s">
        <v>75</v>
      </c>
      <c r="B21">
        <v>1206</v>
      </c>
      <c r="C21">
        <v>2</v>
      </c>
      <c r="D21" t="s">
        <v>76</v>
      </c>
      <c r="E21" t="s">
        <v>105</v>
      </c>
      <c r="F21" s="2"/>
      <c r="G21" s="2"/>
      <c r="H21" s="4"/>
      <c r="I21" s="4"/>
    </row>
    <row r="22" spans="1:9" x14ac:dyDescent="0.2">
      <c r="A22" t="s">
        <v>77</v>
      </c>
      <c r="B22">
        <v>1206</v>
      </c>
      <c r="C22">
        <v>2</v>
      </c>
      <c r="D22">
        <v>390</v>
      </c>
      <c r="E22" t="s">
        <v>105</v>
      </c>
      <c r="F22" s="2"/>
      <c r="G22" s="2"/>
      <c r="H22" s="4"/>
      <c r="I22" s="4"/>
    </row>
    <row r="23" spans="1:9" x14ac:dyDescent="0.2">
      <c r="A23" t="s">
        <v>80</v>
      </c>
      <c r="B23" t="s">
        <v>81</v>
      </c>
      <c r="C23">
        <v>1</v>
      </c>
      <c r="D23" t="s">
        <v>82</v>
      </c>
      <c r="E23" t="s">
        <v>106</v>
      </c>
      <c r="F23" s="2"/>
      <c r="G23" s="2"/>
      <c r="H23" s="4"/>
      <c r="I23" s="4"/>
    </row>
    <row r="24" spans="1:9" x14ac:dyDescent="0.2">
      <c r="A24" t="s">
        <v>83</v>
      </c>
      <c r="B24" t="s">
        <v>81</v>
      </c>
      <c r="C24">
        <v>1</v>
      </c>
      <c r="D24" t="s">
        <v>84</v>
      </c>
      <c r="E24" t="s">
        <v>107</v>
      </c>
      <c r="F24" s="2"/>
      <c r="G24" s="2"/>
      <c r="H24" s="4"/>
      <c r="I24" s="4"/>
    </row>
    <row r="25" spans="1:9" x14ac:dyDescent="0.2">
      <c r="A25" t="s">
        <v>85</v>
      </c>
      <c r="B25" t="s">
        <v>81</v>
      </c>
      <c r="C25">
        <v>1</v>
      </c>
      <c r="D25" t="s">
        <v>86</v>
      </c>
      <c r="E25" t="s">
        <v>108</v>
      </c>
      <c r="F25" s="2"/>
      <c r="G25" s="2"/>
      <c r="H25" s="4"/>
      <c r="I25" s="4"/>
    </row>
    <row r="26" spans="1:9" x14ac:dyDescent="0.2">
      <c r="A26" t="s">
        <v>31</v>
      </c>
      <c r="B26" t="s">
        <v>32</v>
      </c>
      <c r="C26">
        <v>1</v>
      </c>
      <c r="D26" t="s">
        <v>33</v>
      </c>
      <c r="E26" t="s">
        <v>99</v>
      </c>
      <c r="H26">
        <v>0.45</v>
      </c>
      <c r="I26">
        <f t="shared" ref="I26:I38" si="0">H26*C26</f>
        <v>0.45</v>
      </c>
    </row>
    <row r="27" spans="1:9" x14ac:dyDescent="0.2">
      <c r="A27" t="s">
        <v>34</v>
      </c>
      <c r="B27" t="s">
        <v>35</v>
      </c>
      <c r="C27">
        <v>1</v>
      </c>
      <c r="D27" t="s">
        <v>36</v>
      </c>
      <c r="E27" t="s">
        <v>101</v>
      </c>
      <c r="F27" t="s">
        <v>144</v>
      </c>
      <c r="H27">
        <v>0</v>
      </c>
      <c r="I27">
        <f t="shared" si="0"/>
        <v>0</v>
      </c>
    </row>
    <row r="28" spans="1:9" x14ac:dyDescent="0.2">
      <c r="A28" t="s">
        <v>37</v>
      </c>
      <c r="B28" t="s">
        <v>35</v>
      </c>
      <c r="C28">
        <v>1</v>
      </c>
      <c r="D28" t="s">
        <v>38</v>
      </c>
      <c r="E28" t="s">
        <v>101</v>
      </c>
      <c r="F28" t="s">
        <v>144</v>
      </c>
      <c r="H28">
        <v>0</v>
      </c>
      <c r="I28">
        <f t="shared" si="0"/>
        <v>0</v>
      </c>
    </row>
    <row r="29" spans="1:9" x14ac:dyDescent="0.2">
      <c r="A29" t="s">
        <v>39</v>
      </c>
      <c r="B29" t="s">
        <v>35</v>
      </c>
      <c r="C29">
        <v>1</v>
      </c>
      <c r="D29" t="s">
        <v>40</v>
      </c>
      <c r="E29" t="s">
        <v>101</v>
      </c>
      <c r="F29" t="s">
        <v>144</v>
      </c>
      <c r="H29">
        <v>0</v>
      </c>
      <c r="I29">
        <f t="shared" si="0"/>
        <v>0</v>
      </c>
    </row>
    <row r="30" spans="1:9" x14ac:dyDescent="0.2">
      <c r="A30" t="s">
        <v>41</v>
      </c>
      <c r="B30" t="s">
        <v>42</v>
      </c>
      <c r="C30">
        <v>1</v>
      </c>
      <c r="D30" t="s">
        <v>43</v>
      </c>
      <c r="E30" t="s">
        <v>99</v>
      </c>
      <c r="H30">
        <v>2.2200000000000002</v>
      </c>
      <c r="I30">
        <f t="shared" si="0"/>
        <v>2.2200000000000002</v>
      </c>
    </row>
    <row r="31" spans="1:9" x14ac:dyDescent="0.2">
      <c r="A31" t="s">
        <v>44</v>
      </c>
      <c r="B31" t="s">
        <v>32</v>
      </c>
      <c r="C31">
        <v>1</v>
      </c>
      <c r="D31" t="s">
        <v>45</v>
      </c>
      <c r="E31" t="s">
        <v>99</v>
      </c>
      <c r="H31">
        <v>0.45</v>
      </c>
      <c r="I31">
        <f t="shared" si="0"/>
        <v>0.45</v>
      </c>
    </row>
    <row r="32" spans="1:9" x14ac:dyDescent="0.2">
      <c r="A32" t="s">
        <v>46</v>
      </c>
      <c r="B32" t="s">
        <v>42</v>
      </c>
      <c r="C32">
        <v>1</v>
      </c>
      <c r="D32" t="s">
        <v>47</v>
      </c>
      <c r="E32" t="s">
        <v>99</v>
      </c>
      <c r="H32">
        <v>2.2200000000000002</v>
      </c>
      <c r="I32">
        <f t="shared" si="0"/>
        <v>2.2200000000000002</v>
      </c>
    </row>
    <row r="33" spans="1:9" x14ac:dyDescent="0.2">
      <c r="A33" t="s">
        <v>48</v>
      </c>
      <c r="B33" t="s">
        <v>42</v>
      </c>
      <c r="C33">
        <v>1</v>
      </c>
      <c r="D33" t="s">
        <v>49</v>
      </c>
      <c r="E33" t="s">
        <v>99</v>
      </c>
      <c r="H33">
        <v>2.2200000000000002</v>
      </c>
      <c r="I33">
        <f t="shared" si="0"/>
        <v>2.2200000000000002</v>
      </c>
    </row>
    <row r="34" spans="1:9" x14ac:dyDescent="0.2">
      <c r="A34" t="s">
        <v>50</v>
      </c>
      <c r="B34" t="s">
        <v>51</v>
      </c>
      <c r="C34">
        <v>1</v>
      </c>
      <c r="D34" t="s">
        <v>52</v>
      </c>
      <c r="E34" t="s">
        <v>102</v>
      </c>
      <c r="F34" t="s">
        <v>144</v>
      </c>
      <c r="H34">
        <v>0</v>
      </c>
      <c r="I34">
        <f t="shared" si="0"/>
        <v>0</v>
      </c>
    </row>
    <row r="35" spans="1:9" x14ac:dyDescent="0.2">
      <c r="A35" t="s">
        <v>53</v>
      </c>
      <c r="B35" t="s">
        <v>35</v>
      </c>
      <c r="C35">
        <v>1</v>
      </c>
      <c r="D35" t="s">
        <v>54</v>
      </c>
      <c r="E35" t="s">
        <v>103</v>
      </c>
      <c r="F35" t="s">
        <v>144</v>
      </c>
      <c r="H35">
        <v>0</v>
      </c>
      <c r="I35">
        <f t="shared" si="0"/>
        <v>0</v>
      </c>
    </row>
    <row r="36" spans="1:9" x14ac:dyDescent="0.2">
      <c r="A36" t="s">
        <v>55</v>
      </c>
      <c r="B36" t="s">
        <v>35</v>
      </c>
      <c r="C36">
        <v>1</v>
      </c>
      <c r="D36" t="s">
        <v>56</v>
      </c>
      <c r="E36" t="s">
        <v>103</v>
      </c>
      <c r="F36" t="s">
        <v>144</v>
      </c>
      <c r="H36">
        <v>0</v>
      </c>
      <c r="I36">
        <f t="shared" si="0"/>
        <v>0</v>
      </c>
    </row>
    <row r="37" spans="1:9" x14ac:dyDescent="0.2">
      <c r="A37" t="s">
        <v>57</v>
      </c>
      <c r="B37" t="s">
        <v>42</v>
      </c>
      <c r="C37">
        <v>1</v>
      </c>
      <c r="D37" t="s">
        <v>58</v>
      </c>
      <c r="E37" t="s">
        <v>99</v>
      </c>
      <c r="H37">
        <v>2.2200000000000002</v>
      </c>
      <c r="I37">
        <f t="shared" si="0"/>
        <v>2.2200000000000002</v>
      </c>
    </row>
    <row r="38" spans="1:9" x14ac:dyDescent="0.2">
      <c r="A38" t="s">
        <v>169</v>
      </c>
      <c r="B38" t="s">
        <v>170</v>
      </c>
      <c r="C38">
        <v>1</v>
      </c>
      <c r="E38" t="s">
        <v>171</v>
      </c>
      <c r="F38" t="s">
        <v>172</v>
      </c>
      <c r="G38" t="s">
        <v>170</v>
      </c>
      <c r="H38">
        <v>29.81</v>
      </c>
      <c r="I38">
        <f t="shared" si="0"/>
        <v>29.81</v>
      </c>
    </row>
    <row r="39" spans="1:9" x14ac:dyDescent="0.2">
      <c r="A39" t="s">
        <v>78</v>
      </c>
      <c r="B39" t="s">
        <v>79</v>
      </c>
      <c r="C39">
        <v>1</v>
      </c>
      <c r="D39" t="s">
        <v>79</v>
      </c>
      <c r="E39" t="s">
        <v>109</v>
      </c>
      <c r="F39" t="s">
        <v>89</v>
      </c>
      <c r="G39" t="s">
        <v>79</v>
      </c>
      <c r="H39">
        <v>14.77</v>
      </c>
      <c r="I39">
        <f>H39*C39</f>
        <v>14.77</v>
      </c>
    </row>
    <row r="40" spans="1:9" x14ac:dyDescent="0.2">
      <c r="A40" t="s">
        <v>93</v>
      </c>
      <c r="B40" t="s">
        <v>116</v>
      </c>
      <c r="C40">
        <v>1</v>
      </c>
      <c r="E40" t="s">
        <v>110</v>
      </c>
      <c r="F40" t="s">
        <v>115</v>
      </c>
      <c r="G40" t="s">
        <v>114</v>
      </c>
      <c r="H40">
        <v>0.51</v>
      </c>
      <c r="I40">
        <f t="shared" ref="I40:I53" si="1">H40*C40</f>
        <v>0.51</v>
      </c>
    </row>
    <row r="41" spans="1:9" x14ac:dyDescent="0.2">
      <c r="A41" t="s">
        <v>117</v>
      </c>
      <c r="B41" t="s">
        <v>132</v>
      </c>
      <c r="C41">
        <v>1</v>
      </c>
      <c r="E41" t="s">
        <v>121</v>
      </c>
      <c r="F41" t="s">
        <v>126</v>
      </c>
      <c r="G41" t="s">
        <v>130</v>
      </c>
      <c r="H41">
        <v>16.190000000000001</v>
      </c>
      <c r="I41">
        <f t="shared" si="1"/>
        <v>16.190000000000001</v>
      </c>
    </row>
    <row r="42" spans="1:9" x14ac:dyDescent="0.2">
      <c r="A42" t="s">
        <v>118</v>
      </c>
      <c r="B42" t="s">
        <v>133</v>
      </c>
      <c r="C42">
        <v>1</v>
      </c>
      <c r="E42" t="s">
        <v>124</v>
      </c>
      <c r="F42" t="s">
        <v>131</v>
      </c>
      <c r="G42" t="s">
        <v>128</v>
      </c>
      <c r="H42">
        <v>6.5</v>
      </c>
      <c r="I42">
        <f t="shared" si="1"/>
        <v>6.5</v>
      </c>
    </row>
    <row r="43" spans="1:9" x14ac:dyDescent="0.2">
      <c r="A43" t="s">
        <v>119</v>
      </c>
      <c r="B43" t="s">
        <v>133</v>
      </c>
      <c r="C43">
        <v>1</v>
      </c>
      <c r="E43" t="s">
        <v>123</v>
      </c>
      <c r="F43" t="s">
        <v>126</v>
      </c>
      <c r="G43" t="s">
        <v>122</v>
      </c>
      <c r="H43">
        <v>10.38</v>
      </c>
      <c r="I43">
        <f t="shared" si="1"/>
        <v>10.38</v>
      </c>
    </row>
    <row r="44" spans="1:9" x14ac:dyDescent="0.2">
      <c r="A44" t="s">
        <v>120</v>
      </c>
      <c r="B44" t="s">
        <v>133</v>
      </c>
      <c r="C44">
        <v>1</v>
      </c>
      <c r="E44" t="s">
        <v>125</v>
      </c>
      <c r="F44" t="s">
        <v>131</v>
      </c>
      <c r="G44" t="s">
        <v>129</v>
      </c>
      <c r="H44">
        <v>13.85</v>
      </c>
      <c r="I44">
        <f t="shared" si="1"/>
        <v>13.85</v>
      </c>
    </row>
    <row r="45" spans="1:9" x14ac:dyDescent="0.2">
      <c r="A45" t="s">
        <v>154</v>
      </c>
      <c r="B45" t="s">
        <v>155</v>
      </c>
      <c r="C45">
        <v>6</v>
      </c>
      <c r="E45" t="s">
        <v>158</v>
      </c>
      <c r="F45" t="s">
        <v>156</v>
      </c>
      <c r="G45" t="s">
        <v>157</v>
      </c>
      <c r="I45">
        <f t="shared" si="1"/>
        <v>0</v>
      </c>
    </row>
    <row r="46" spans="1:9" x14ac:dyDescent="0.2">
      <c r="A46" t="s">
        <v>164</v>
      </c>
      <c r="B46" t="s">
        <v>133</v>
      </c>
      <c r="C46">
        <v>3</v>
      </c>
      <c r="E46" t="s">
        <v>165</v>
      </c>
      <c r="F46" t="s">
        <v>167</v>
      </c>
      <c r="G46" t="s">
        <v>166</v>
      </c>
      <c r="I46">
        <f t="shared" si="1"/>
        <v>0</v>
      </c>
    </row>
    <row r="47" spans="1:9" x14ac:dyDescent="0.2">
      <c r="A47" t="s">
        <v>141</v>
      </c>
      <c r="B47" t="s">
        <v>132</v>
      </c>
      <c r="C47">
        <v>1</v>
      </c>
      <c r="E47" t="s">
        <v>151</v>
      </c>
      <c r="F47" t="s">
        <v>152</v>
      </c>
      <c r="G47" t="s">
        <v>153</v>
      </c>
      <c r="H47">
        <v>3.33</v>
      </c>
      <c r="I47">
        <f t="shared" si="1"/>
        <v>3.33</v>
      </c>
    </row>
    <row r="48" spans="1:9" x14ac:dyDescent="0.2">
      <c r="A48" t="s">
        <v>142</v>
      </c>
      <c r="B48" t="s">
        <v>132</v>
      </c>
      <c r="C48">
        <v>1</v>
      </c>
      <c r="E48" t="s">
        <v>143</v>
      </c>
      <c r="F48" t="s">
        <v>144</v>
      </c>
      <c r="H48">
        <v>0.2</v>
      </c>
      <c r="I48">
        <f t="shared" si="1"/>
        <v>0.2</v>
      </c>
    </row>
    <row r="49" spans="1:9" x14ac:dyDescent="0.2">
      <c r="A49" t="s">
        <v>149</v>
      </c>
      <c r="B49" t="s">
        <v>132</v>
      </c>
      <c r="C49">
        <v>2</v>
      </c>
      <c r="E49" t="s">
        <v>150</v>
      </c>
      <c r="F49" t="s">
        <v>144</v>
      </c>
      <c r="H49">
        <v>1.8</v>
      </c>
      <c r="I49">
        <f t="shared" si="1"/>
        <v>3.6</v>
      </c>
    </row>
    <row r="50" spans="1:9" x14ac:dyDescent="0.2">
      <c r="A50" t="s">
        <v>145</v>
      </c>
      <c r="B50" t="s">
        <v>132</v>
      </c>
      <c r="C50">
        <v>2</v>
      </c>
      <c r="E50" t="s">
        <v>146</v>
      </c>
      <c r="F50" t="s">
        <v>147</v>
      </c>
      <c r="G50" t="s">
        <v>148</v>
      </c>
      <c r="H50">
        <v>10</v>
      </c>
      <c r="I50">
        <f t="shared" si="1"/>
        <v>20</v>
      </c>
    </row>
    <row r="51" spans="1:9" x14ac:dyDescent="0.2">
      <c r="A51" t="s">
        <v>134</v>
      </c>
      <c r="C51">
        <v>1</v>
      </c>
      <c r="E51" t="s">
        <v>140</v>
      </c>
      <c r="F51" t="s">
        <v>135</v>
      </c>
      <c r="G51" t="s">
        <v>139</v>
      </c>
      <c r="H51">
        <v>50</v>
      </c>
      <c r="I51">
        <f t="shared" si="1"/>
        <v>50</v>
      </c>
    </row>
    <row r="52" spans="1:9" x14ac:dyDescent="0.2">
      <c r="A52" t="s">
        <v>137</v>
      </c>
      <c r="C52">
        <v>1</v>
      </c>
      <c r="E52" t="s">
        <v>138</v>
      </c>
      <c r="F52" t="s">
        <v>136</v>
      </c>
      <c r="H52">
        <v>30</v>
      </c>
      <c r="I52">
        <f t="shared" si="1"/>
        <v>30</v>
      </c>
    </row>
    <row r="53" spans="1:9" x14ac:dyDescent="0.2">
      <c r="A53" t="s">
        <v>168</v>
      </c>
      <c r="B53" t="s">
        <v>132</v>
      </c>
      <c r="C53">
        <v>1</v>
      </c>
      <c r="E53" t="s">
        <v>173</v>
      </c>
      <c r="F53" t="s">
        <v>174</v>
      </c>
      <c r="H53">
        <v>1.6</v>
      </c>
      <c r="I53">
        <f t="shared" si="1"/>
        <v>1.6</v>
      </c>
    </row>
    <row r="58" spans="1:9" x14ac:dyDescent="0.2">
      <c r="H58" s="3" t="s">
        <v>176</v>
      </c>
      <c r="I58" s="3">
        <f>SUM(I26:I53)+77.6</f>
        <v>288.12</v>
      </c>
    </row>
  </sheetData>
  <mergeCells count="2">
    <mergeCell ref="F2:G25"/>
    <mergeCell ref="H2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JLCbom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Skylar Denno</cp:lastModifiedBy>
  <dcterms:created xsi:type="dcterms:W3CDTF">2026-07-29T22:21:33Z</dcterms:created>
  <dcterms:modified xsi:type="dcterms:W3CDTF">2026-07-29T23:40:05Z</dcterms:modified>
</cp:coreProperties>
</file>